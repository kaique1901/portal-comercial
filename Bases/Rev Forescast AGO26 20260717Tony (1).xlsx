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rojeto IA\Bases\"/>
    </mc:Choice>
  </mc:AlternateContent>
  <xr:revisionPtr revIDLastSave="0" documentId="8_{0171E279-90FA-4F5A-843F-8340EC1890B3}" xr6:coauthVersionLast="47" xr6:coauthVersionMax="47" xr10:uidLastSave="{00000000-0000-0000-0000-000000000000}"/>
  <bookViews>
    <workbookView xWindow="4695" yWindow="1365" windowWidth="18360" windowHeight="13725" xr2:uid="{9516B798-7878-4243-B45A-4637998D6268}"/>
  </bookViews>
  <sheets>
    <sheet name="Rateio Gui" sheetId="3" r:id="rId1"/>
    <sheet name="Planilha1" sheetId="1" r:id="rId2"/>
    <sheet name="Planilha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" i="3" l="1"/>
  <c r="P10" i="3" s="1"/>
  <c r="O9" i="3"/>
  <c r="O8" i="3"/>
  <c r="O7" i="3"/>
  <c r="P7" i="3" s="1"/>
  <c r="O6" i="3"/>
  <c r="O5" i="3"/>
  <c r="O4" i="3"/>
  <c r="L10" i="3"/>
  <c r="M10" i="3" s="1"/>
  <c r="L9" i="3"/>
  <c r="M9" i="3" s="1"/>
  <c r="L8" i="3"/>
  <c r="L7" i="3"/>
  <c r="L6" i="3"/>
  <c r="M6" i="3" s="1"/>
  <c r="L5" i="3"/>
  <c r="M5" i="3" s="1"/>
  <c r="L4" i="3"/>
  <c r="I10" i="3"/>
  <c r="I9" i="3"/>
  <c r="J9" i="3" s="1"/>
  <c r="I8" i="3"/>
  <c r="I7" i="3"/>
  <c r="I6" i="3"/>
  <c r="I5" i="3"/>
  <c r="I4" i="3"/>
  <c r="F10" i="3"/>
  <c r="F9" i="3"/>
  <c r="F8" i="3"/>
  <c r="G8" i="3" s="1"/>
  <c r="F7" i="3"/>
  <c r="G7" i="3" s="1"/>
  <c r="F6" i="3"/>
  <c r="F5" i="3"/>
  <c r="F4" i="3"/>
  <c r="C5" i="3"/>
  <c r="D5" i="3" s="1"/>
  <c r="C6" i="3"/>
  <c r="D6" i="3" s="1"/>
  <c r="C7" i="3"/>
  <c r="D7" i="3" s="1"/>
  <c r="C8" i="3"/>
  <c r="D8" i="3" s="1"/>
  <c r="C9" i="3"/>
  <c r="D9" i="3" s="1"/>
  <c r="C10" i="3"/>
  <c r="C4" i="3"/>
  <c r="J10" i="3"/>
  <c r="G10" i="3"/>
  <c r="D10" i="3"/>
  <c r="P9" i="3"/>
  <c r="G9" i="3"/>
  <c r="P8" i="3"/>
  <c r="M8" i="3"/>
  <c r="J8" i="3"/>
  <c r="M7" i="3"/>
  <c r="J7" i="3"/>
  <c r="P6" i="3"/>
  <c r="J6" i="3"/>
  <c r="G6" i="3"/>
  <c r="P5" i="3"/>
  <c r="J5" i="3"/>
  <c r="G5" i="3"/>
  <c r="C11" i="3" l="1"/>
  <c r="D11" i="3" s="1"/>
  <c r="L11" i="3"/>
  <c r="M11" i="3" s="1"/>
  <c r="F11" i="3"/>
  <c r="G11" i="3" s="1"/>
  <c r="M4" i="3"/>
  <c r="G4" i="3"/>
  <c r="O11" i="3"/>
  <c r="P11" i="3" s="1"/>
  <c r="I11" i="3"/>
  <c r="J11" i="3" s="1"/>
  <c r="D4" i="3"/>
  <c r="P4" i="3"/>
  <c r="J4" i="3"/>
</calcChain>
</file>

<file path=xl/sharedStrings.xml><?xml version="1.0" encoding="utf-8"?>
<sst xmlns="http://schemas.openxmlformats.org/spreadsheetml/2006/main" count="93" uniqueCount="30">
  <si>
    <t>METAS FATURAMENTO AGO 2026</t>
  </si>
  <si>
    <t>categoria</t>
  </si>
  <si>
    <t>G01 - EDUARDO</t>
  </si>
  <si>
    <t>G02 - GUILHERME</t>
  </si>
  <si>
    <t>G03 - ANTONIO</t>
  </si>
  <si>
    <t>G04 - EVERTON</t>
  </si>
  <si>
    <t>G06 - CIFAL</t>
  </si>
  <si>
    <t>Total Geral</t>
  </si>
  <si>
    <t>ARAPIRACA</t>
  </si>
  <si>
    <t>CHARUTOS</t>
  </si>
  <si>
    <t>CIGARRO DE PALHA/PALHEIROS</t>
  </si>
  <si>
    <t>CIGARRO INDUSTRIAL</t>
  </si>
  <si>
    <t>HEADSHOP</t>
  </si>
  <si>
    <t>NARGUILE</t>
  </si>
  <si>
    <t>OUTROS</t>
  </si>
  <si>
    <t>Diários Meta</t>
  </si>
  <si>
    <t>Diários Histórico 2026</t>
  </si>
  <si>
    <t>METAS CASH MARGIN AGO 2026</t>
  </si>
  <si>
    <t>Meta Margem</t>
  </si>
  <si>
    <t>Diários</t>
  </si>
  <si>
    <t>Essa diferença acontece por arredondamento dos números E PARTICIPAÇÃO NAS CATEGORIAS POR GERÊNCIA</t>
  </si>
  <si>
    <t>Cat</t>
  </si>
  <si>
    <t>FUMO KG</t>
  </si>
  <si>
    <t>PAPEL</t>
  </si>
  <si>
    <t>Estratégicos</t>
  </si>
  <si>
    <t>META FAT $</t>
  </si>
  <si>
    <t>Meta Cash Margem</t>
  </si>
  <si>
    <t>Meta Margem %</t>
  </si>
  <si>
    <t>META Fat/CashMargem/Margem - CIFAL</t>
  </si>
  <si>
    <t>METAS  AGOSTO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</si>
</sst>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"/>
    <numFmt numFmtId="165" formatCode="0.0%"/>
    <numFmt numFmtId="166" formatCode="_-* #,##0_-;\-* #,##0_-;_-* &quot;-&quot;??_-;_-@_-"/>
    <numFmt numFmtId="167" formatCode="&quot;R$&quot;\ #,##0.00"/>
  </numFmts>
  <fonts count="13" x14ac:knownFonts="1">
    <font>
      <sz val="10"/>
      <color theme="1"/>
      <name val="Lucida Sans Typewriter"/>
      <family val="2"/>
    </font>
    <font>
      <sz val="10"/>
      <color theme="1"/>
      <name val="Lucida Sans Typewriter"/>
      <family val="2"/>
    </font>
    <font>
      <b/>
      <sz val="10"/>
      <color theme="0"/>
      <name val="Aptos Display"/>
      <family val="2"/>
    </font>
    <font>
      <sz val="10"/>
      <color theme="1"/>
      <name val="Aptos Display"/>
      <family val="2"/>
    </font>
    <font>
      <b/>
      <sz val="10"/>
      <color theme="1"/>
      <name val="Aptos Display"/>
      <family val="2"/>
    </font>
    <font>
      <sz val="12"/>
      <color theme="1"/>
      <name val="Aptos Display"/>
      <family val="2"/>
    </font>
    <font>
      <sz val="9"/>
      <color theme="1"/>
      <name val="Aptos Display"/>
      <family val="2"/>
    </font>
    <font>
      <b/>
      <i/>
      <sz val="12"/>
      <color theme="0"/>
      <name val="Aptos Display"/>
    </font>
    <font>
      <b/>
      <i/>
      <sz val="12"/>
      <color theme="1"/>
      <name val="Aptos Display"/>
    </font>
    <font>
      <b/>
      <i/>
      <sz val="10"/>
      <color theme="1"/>
      <name val="Aptos Display"/>
    </font>
    <font>
      <b/>
      <i/>
      <sz val="10"/>
      <color theme="0"/>
      <name val="Aptos Display"/>
    </font>
    <font>
      <i/>
      <sz val="10"/>
      <color theme="1"/>
      <name val="Lucida Sans Typewriter"/>
      <family val="2"/>
    </font>
    <font>
      <b/>
      <sz val="18"/>
      <color theme="0"/>
      <name val="Aptos Display"/>
      <family val="2"/>
    </font>
  </fonts>
  <fills count="1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71FF7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ECF5E7"/>
        <bgColor indexed="64"/>
      </patternFill>
    </fill>
    <fill>
      <patternFill patternType="solid">
        <fgColor rgb="FFEFF6FB"/>
        <bgColor indexed="64"/>
      </patternFill>
    </fill>
    <fill>
      <patternFill patternType="solid">
        <fgColor rgb="FFFFE7E7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6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164" fontId="5" fillId="0" borderId="0" xfId="0" applyNumberFormat="1" applyFont="1"/>
    <xf numFmtId="0" fontId="3" fillId="3" borderId="0" xfId="0" applyFont="1" applyFill="1"/>
    <xf numFmtId="164" fontId="3" fillId="3" borderId="0" xfId="0" applyNumberFormat="1" applyFont="1" applyFill="1"/>
    <xf numFmtId="164" fontId="4" fillId="3" borderId="0" xfId="0" applyNumberFormat="1" applyFont="1" applyFill="1"/>
    <xf numFmtId="0" fontId="3" fillId="4" borderId="0" xfId="0" applyFont="1" applyFill="1"/>
    <xf numFmtId="164" fontId="3" fillId="4" borderId="0" xfId="0" applyNumberFormat="1" applyFont="1" applyFill="1"/>
    <xf numFmtId="165" fontId="3" fillId="0" borderId="0" xfId="2" applyNumberFormat="1" applyFont="1"/>
    <xf numFmtId="165" fontId="0" fillId="4" borderId="0" xfId="2" applyNumberFormat="1" applyFont="1" applyFill="1"/>
    <xf numFmtId="165" fontId="5" fillId="7" borderId="0" xfId="2" applyNumberFormat="1" applyFont="1" applyFill="1"/>
    <xf numFmtId="165" fontId="3" fillId="7" borderId="0" xfId="2" applyNumberFormat="1" applyFont="1" applyFill="1"/>
    <xf numFmtId="0" fontId="3" fillId="0" borderId="0" xfId="0" applyFont="1" applyAlignment="1">
      <alignment horizontal="center"/>
    </xf>
    <xf numFmtId="166" fontId="3" fillId="9" borderId="0" xfId="1" applyNumberFormat="1" applyFont="1" applyFill="1"/>
    <xf numFmtId="9" fontId="0" fillId="0" borderId="0" xfId="2" applyFont="1"/>
    <xf numFmtId="10" fontId="0" fillId="0" borderId="0" xfId="2" applyNumberFormat="1" applyFont="1"/>
    <xf numFmtId="43" fontId="3" fillId="0" borderId="0" xfId="1" applyFont="1"/>
    <xf numFmtId="0" fontId="2" fillId="2" borderId="0" xfId="0" applyFont="1" applyFill="1" applyAlignment="1">
      <alignment horizontal="center" vertical="center"/>
    </xf>
    <xf numFmtId="167" fontId="3" fillId="13" borderId="4" xfId="0" applyNumberFormat="1" applyFont="1" applyFill="1" applyBorder="1" applyAlignment="1">
      <alignment horizontal="center" vertical="center"/>
    </xf>
    <xf numFmtId="10" fontId="3" fillId="15" borderId="5" xfId="2" applyNumberFormat="1" applyFont="1" applyFill="1" applyBorder="1" applyAlignment="1">
      <alignment horizontal="center" vertical="center"/>
    </xf>
    <xf numFmtId="10" fontId="9" fillId="0" borderId="5" xfId="2" applyNumberFormat="1" applyFont="1" applyBorder="1" applyAlignment="1">
      <alignment horizontal="center" vertical="center"/>
    </xf>
    <xf numFmtId="167" fontId="3" fillId="13" borderId="6" xfId="0" applyNumberFormat="1" applyFont="1" applyFill="1" applyBorder="1" applyAlignment="1">
      <alignment horizontal="center" vertical="center"/>
    </xf>
    <xf numFmtId="167" fontId="3" fillId="14" borderId="7" xfId="0" applyNumberFormat="1" applyFont="1" applyFill="1" applyBorder="1" applyAlignment="1">
      <alignment horizontal="center" vertical="center"/>
    </xf>
    <xf numFmtId="10" fontId="3" fillId="15" borderId="8" xfId="2" applyNumberFormat="1" applyFont="1" applyFill="1" applyBorder="1" applyAlignment="1">
      <alignment horizontal="center" vertical="center"/>
    </xf>
    <xf numFmtId="167" fontId="3" fillId="13" borderId="7" xfId="0" applyNumberFormat="1" applyFont="1" applyFill="1" applyBorder="1" applyAlignment="1">
      <alignment horizontal="center" vertical="center"/>
    </xf>
    <xf numFmtId="167" fontId="9" fillId="0" borderId="7" xfId="0" applyNumberFormat="1" applyFont="1" applyBorder="1" applyAlignment="1">
      <alignment horizontal="center" vertical="center"/>
    </xf>
    <xf numFmtId="10" fontId="9" fillId="0" borderId="8" xfId="2" applyNumberFormat="1" applyFont="1" applyBorder="1" applyAlignment="1">
      <alignment horizontal="center" vertical="center"/>
    </xf>
    <xf numFmtId="44" fontId="7" fillId="10" borderId="6" xfId="3" applyFont="1" applyFill="1" applyBorder="1" applyAlignment="1">
      <alignment horizontal="center" vertical="center"/>
    </xf>
    <xf numFmtId="44" fontId="7" fillId="11" borderId="7" xfId="3" applyFont="1" applyFill="1" applyBorder="1" applyAlignment="1">
      <alignment horizontal="center" vertical="center"/>
    </xf>
    <xf numFmtId="10" fontId="7" fillId="9" borderId="8" xfId="2" applyNumberFormat="1" applyFont="1" applyFill="1" applyBorder="1" applyAlignment="1">
      <alignment horizontal="center" vertical="center"/>
    </xf>
    <xf numFmtId="44" fontId="7" fillId="10" borderId="7" xfId="3" applyFont="1" applyFill="1" applyBorder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165" fontId="3" fillId="0" borderId="0" xfId="2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6" fontId="3" fillId="9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4" fontId="3" fillId="0" borderId="0" xfId="3" applyFont="1" applyAlignment="1">
      <alignment horizontal="center" vertical="center"/>
    </xf>
    <xf numFmtId="167" fontId="3" fillId="13" borderId="0" xfId="0" applyNumberFormat="1" applyFont="1" applyFill="1" applyAlignment="1">
      <alignment horizontal="center" vertical="center"/>
    </xf>
    <xf numFmtId="0" fontId="3" fillId="0" borderId="10" xfId="0" applyFont="1" applyBorder="1"/>
    <xf numFmtId="0" fontId="4" fillId="0" borderId="11" xfId="0" applyFont="1" applyBorder="1"/>
    <xf numFmtId="0" fontId="3" fillId="0" borderId="11" xfId="0" applyFont="1" applyBorder="1"/>
    <xf numFmtId="0" fontId="11" fillId="0" borderId="0" xfId="0" applyFont="1"/>
    <xf numFmtId="0" fontId="7" fillId="10" borderId="1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7" fontId="3" fillId="14" borderId="0" xfId="0" applyNumberFormat="1" applyFont="1" applyFill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0" fontId="10" fillId="12" borderId="9" xfId="0" applyFont="1" applyFill="1" applyBorder="1" applyAlignment="1">
      <alignment horizontal="center" vertical="center"/>
    </xf>
    <xf numFmtId="0" fontId="10" fillId="12" borderId="10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6" borderId="0" xfId="0" applyFill="1" applyAlignment="1">
      <alignment horizontal="center" wrapText="1"/>
    </xf>
    <xf numFmtId="0" fontId="6" fillId="8" borderId="0" xfId="0" applyFont="1" applyFill="1" applyAlignment="1">
      <alignment horizontal="center" vertical="center" wrapText="1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171450</xdr:colOff>
      <xdr:row>28</xdr:row>
      <xdr:rowOff>38100</xdr:rowOff>
    </xdr:from>
    <xdr:to>
      <xdr:col>9</xdr:col>
      <xdr:colOff>409575</xdr:colOff>
      <xdr:row>34</xdr:row>
      <xdr:rowOff>19050</xdr:rowOff>
    </xdr:to>
    <xdr:sp macro="" textlink="">
      <xdr:nvSpPr>
        <xdr:cNvPr id="3" name="Texto Explicativo: Seta para a Esquerda 2">
          <a:extLst>
            <a:ext uri="{FF2B5EF4-FFF2-40B4-BE49-F238E27FC236}">
              <a16:creationId xmlns:a16="http://schemas.microsoft.com/office/drawing/2014/main" id="{8D0B95B1-0F7A-410E-88E6-FB1C5A0C4A31}"/>
            </a:ext>
          </a:extLst>
        </xdr:cNvPr>
        <xdr:cNvSpPr/>
      </xdr:nvSpPr>
      <xdr:spPr>
        <a:xfrm>
          <a:off x="7629525" y="5086350"/>
          <a:ext cx="1609725" cy="1009650"/>
        </a:xfrm>
        <a:prstGeom prst="leftArrow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Robson Deverá atualizar os dados de FUMO e Papel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EB29C-581F-4774-BB25-562E7651147E}">
  <dimension ref="A1:S21"/>
  <sheetViews>
    <sheetView showGridLines="0" tabSelected="1" zoomScale="80" zoomScaleNormal="80" workbookViewId="0">
      <selection activeCell="I22" sqref="I22"/>
    </sheetView>
  </sheetViews>
  <sheetFormatPr defaultColWidth="21.25" defaultRowHeight="20.45" customHeight="1" x14ac:dyDescent="0.2"/>
  <cols>
    <col min="1" max="1" width="27" bestFit="1" customWidth="1"/>
    <col min="2" max="4" width="21.25" style="40"/>
    <col min="5" max="19" width="19.25" style="40" customWidth="1"/>
  </cols>
  <sheetData>
    <row r="1" spans="1:19" s="51" customFormat="1" ht="35.450000000000003" customHeight="1" thickBot="1" x14ac:dyDescent="0.25">
      <c r="A1" s="56" t="s">
        <v>29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20"/>
      <c r="S1" s="20"/>
    </row>
    <row r="2" spans="1:19" ht="20.45" customHeight="1" thickBot="1" x14ac:dyDescent="0.25">
      <c r="A2" s="54" t="s">
        <v>1</v>
      </c>
      <c r="B2" s="47" t="s">
        <v>25</v>
      </c>
      <c r="C2" s="48" t="s">
        <v>26</v>
      </c>
      <c r="D2" s="50" t="s">
        <v>27</v>
      </c>
      <c r="E2" s="49" t="s">
        <v>25</v>
      </c>
      <c r="F2" s="48" t="s">
        <v>26</v>
      </c>
      <c r="G2" s="50" t="s">
        <v>27</v>
      </c>
      <c r="H2" s="49" t="s">
        <v>25</v>
      </c>
      <c r="I2" s="48" t="s">
        <v>26</v>
      </c>
      <c r="J2" s="50" t="s">
        <v>27</v>
      </c>
      <c r="K2" s="49" t="s">
        <v>25</v>
      </c>
      <c r="L2" s="48" t="s">
        <v>26</v>
      </c>
      <c r="M2" s="50" t="s">
        <v>27</v>
      </c>
      <c r="N2" s="49" t="s">
        <v>25</v>
      </c>
      <c r="O2" s="48" t="s">
        <v>26</v>
      </c>
      <c r="P2" s="50" t="s">
        <v>27</v>
      </c>
      <c r="Q2" s="49" t="s">
        <v>25</v>
      </c>
      <c r="R2" s="48" t="s">
        <v>26</v>
      </c>
      <c r="S2" s="50" t="s">
        <v>27</v>
      </c>
    </row>
    <row r="3" spans="1:19" s="46" customFormat="1" ht="29.45" customHeight="1" thickBot="1" x14ac:dyDescent="0.25">
      <c r="A3" s="55"/>
      <c r="B3" s="57" t="s">
        <v>2</v>
      </c>
      <c r="C3" s="58"/>
      <c r="D3" s="59"/>
      <c r="E3" s="58" t="s">
        <v>3</v>
      </c>
      <c r="F3" s="58"/>
      <c r="G3" s="59"/>
      <c r="H3" s="58" t="s">
        <v>4</v>
      </c>
      <c r="I3" s="58"/>
      <c r="J3" s="59"/>
      <c r="K3" s="58" t="s">
        <v>5</v>
      </c>
      <c r="L3" s="58"/>
      <c r="M3" s="59"/>
      <c r="N3" s="58" t="s">
        <v>6</v>
      </c>
      <c r="O3" s="58"/>
      <c r="P3" s="59"/>
      <c r="Q3" s="60" t="s">
        <v>28</v>
      </c>
      <c r="R3" s="60"/>
      <c r="S3" s="61"/>
    </row>
    <row r="4" spans="1:19" ht="20.45" customHeight="1" x14ac:dyDescent="0.25">
      <c r="A4" s="43" t="s">
        <v>8</v>
      </c>
      <c r="B4" s="21">
        <v>1071613.5519024145</v>
      </c>
      <c r="C4" s="52">
        <f>(B4/$Q4)*$R4</f>
        <v>315054.38425930985</v>
      </c>
      <c r="D4" s="22">
        <f>C4/B4</f>
        <v>0.29399999999999998</v>
      </c>
      <c r="E4" s="42">
        <v>402810.67253635987</v>
      </c>
      <c r="F4" s="52">
        <f>(E4/$Q4)*$R4</f>
        <v>118426.33772568979</v>
      </c>
      <c r="G4" s="22">
        <f>F4/E4</f>
        <v>0.29399999999999998</v>
      </c>
      <c r="H4" s="42">
        <v>118620.76176487553</v>
      </c>
      <c r="I4" s="52">
        <f>(H4/$Q4)*$R4</f>
        <v>34874.503958873407</v>
      </c>
      <c r="J4" s="22">
        <f>I4/H4</f>
        <v>0.29400000000000004</v>
      </c>
      <c r="K4" s="42">
        <v>165020.05670442141</v>
      </c>
      <c r="L4" s="52">
        <f>(K4/$Q4)*$R4</f>
        <v>48515.896671099894</v>
      </c>
      <c r="M4" s="22">
        <f>L4/K4</f>
        <v>0.29399999999999998</v>
      </c>
      <c r="N4" s="42">
        <v>41934.957091928933</v>
      </c>
      <c r="O4" s="52">
        <f>(N4/$Q4)*$R4</f>
        <v>12328.877385027105</v>
      </c>
      <c r="P4" s="22">
        <f>O4/N4</f>
        <v>0.29399999999999998</v>
      </c>
      <c r="Q4" s="53">
        <v>1800000</v>
      </c>
      <c r="R4" s="53">
        <v>529200</v>
      </c>
      <c r="S4" s="23">
        <v>0.29399999999999998</v>
      </c>
    </row>
    <row r="5" spans="1:19" ht="20.45" customHeight="1" x14ac:dyDescent="0.25">
      <c r="A5" s="43" t="s">
        <v>9</v>
      </c>
      <c r="B5" s="21">
        <v>359827.79531405534</v>
      </c>
      <c r="C5" s="52">
        <f t="shared" ref="C5:C10" si="0">(B5/$Q5)*$R5</f>
        <v>82760.392922232728</v>
      </c>
      <c r="D5" s="22">
        <f t="shared" ref="D5:D10" si="1">C5/B5</f>
        <v>0.23</v>
      </c>
      <c r="E5" s="42">
        <v>150862.60734013843</v>
      </c>
      <c r="F5" s="52">
        <f t="shared" ref="F5:F10" si="2">(E5/$Q5)*$R5</f>
        <v>34698.399688231839</v>
      </c>
      <c r="G5" s="22">
        <f t="shared" ref="G5:G10" si="3">F5/E5</f>
        <v>0.22999999999999998</v>
      </c>
      <c r="H5" s="42">
        <v>214406.78544550575</v>
      </c>
      <c r="I5" s="52">
        <f t="shared" ref="I5:I10" si="4">(H5/$Q5)*$R5</f>
        <v>49313.560652466324</v>
      </c>
      <c r="J5" s="22">
        <f t="shared" ref="J5:J10" si="5">I5/H5</f>
        <v>0.23</v>
      </c>
      <c r="K5" s="42">
        <v>1015400.181714246</v>
      </c>
      <c r="L5" s="52">
        <f t="shared" ref="L5:L10" si="6">(K5/$Q5)*$R5</f>
        <v>233542.04179427659</v>
      </c>
      <c r="M5" s="22">
        <f t="shared" ref="M5:M10" si="7">L5/K5</f>
        <v>0.23</v>
      </c>
      <c r="N5" s="42">
        <v>9502.630186054068</v>
      </c>
      <c r="O5" s="52">
        <f t="shared" ref="O5:O10" si="8">(N5/$Q5)*$R5</f>
        <v>2185.6049427924354</v>
      </c>
      <c r="P5" s="22">
        <f t="shared" ref="P5:P10" si="9">O5/N5</f>
        <v>0.22999999999999998</v>
      </c>
      <c r="Q5" s="53">
        <v>1750000</v>
      </c>
      <c r="R5" s="53">
        <v>402500</v>
      </c>
      <c r="S5" s="23">
        <v>0.23</v>
      </c>
    </row>
    <row r="6" spans="1:19" ht="20.45" customHeight="1" x14ac:dyDescent="0.25">
      <c r="A6" s="43" t="s">
        <v>10</v>
      </c>
      <c r="B6" s="21">
        <v>19331542.752703547</v>
      </c>
      <c r="C6" s="52">
        <f t="shared" si="0"/>
        <v>5277511.1714880699</v>
      </c>
      <c r="D6" s="22">
        <f t="shared" si="1"/>
        <v>0.27300000000000008</v>
      </c>
      <c r="E6" s="42">
        <v>9882460.1194687225</v>
      </c>
      <c r="F6" s="52">
        <f t="shared" si="2"/>
        <v>2697911.6126149613</v>
      </c>
      <c r="G6" s="22">
        <f t="shared" si="3"/>
        <v>0.27300000000000002</v>
      </c>
      <c r="H6" s="42">
        <v>15717893.836368576</v>
      </c>
      <c r="I6" s="52">
        <f t="shared" si="4"/>
        <v>4290985.0173286218</v>
      </c>
      <c r="J6" s="22">
        <f t="shared" si="5"/>
        <v>0.27300000000000002</v>
      </c>
      <c r="K6" s="42">
        <v>2897820.2617934356</v>
      </c>
      <c r="L6" s="52">
        <f t="shared" si="6"/>
        <v>791104.93146960798</v>
      </c>
      <c r="M6" s="22">
        <f t="shared" si="7"/>
        <v>0.27300000000000002</v>
      </c>
      <c r="N6" s="42">
        <v>1195283.0296657204</v>
      </c>
      <c r="O6" s="52">
        <f t="shared" si="8"/>
        <v>326312.26709874172</v>
      </c>
      <c r="P6" s="22">
        <f t="shared" si="9"/>
        <v>0.27300000000000002</v>
      </c>
      <c r="Q6" s="53">
        <v>49025000</v>
      </c>
      <c r="R6" s="53">
        <v>13383825.000000002</v>
      </c>
      <c r="S6" s="23">
        <v>0.27300000000000002</v>
      </c>
    </row>
    <row r="7" spans="1:19" ht="20.45" customHeight="1" x14ac:dyDescent="0.25">
      <c r="A7" s="43" t="s">
        <v>11</v>
      </c>
      <c r="B7" s="21">
        <v>572464.11599912634</v>
      </c>
      <c r="C7" s="52">
        <f t="shared" si="0"/>
        <v>55529.019251915255</v>
      </c>
      <c r="D7" s="22">
        <f t="shared" si="1"/>
        <v>9.7000000000000003E-2</v>
      </c>
      <c r="E7" s="42">
        <v>615667.47251363064</v>
      </c>
      <c r="F7" s="52">
        <f t="shared" si="2"/>
        <v>59719.744833822166</v>
      </c>
      <c r="G7" s="22">
        <f t="shared" si="3"/>
        <v>9.6999999999999989E-2</v>
      </c>
      <c r="H7" s="42">
        <v>2283826.5612289528</v>
      </c>
      <c r="I7" s="52">
        <f t="shared" si="4"/>
        <v>221531.17643920842</v>
      </c>
      <c r="J7" s="22">
        <f t="shared" si="5"/>
        <v>9.6999999999999989E-2</v>
      </c>
      <c r="K7" s="42">
        <v>898121.88835177338</v>
      </c>
      <c r="L7" s="52">
        <f t="shared" si="6"/>
        <v>87117.823170122021</v>
      </c>
      <c r="M7" s="22">
        <f t="shared" si="7"/>
        <v>9.7000000000000003E-2</v>
      </c>
      <c r="N7" s="42">
        <v>29919.961906517343</v>
      </c>
      <c r="O7" s="52">
        <f t="shared" si="8"/>
        <v>2902.2363049321825</v>
      </c>
      <c r="P7" s="22">
        <f t="shared" si="9"/>
        <v>9.7000000000000003E-2</v>
      </c>
      <c r="Q7" s="53">
        <v>4400000</v>
      </c>
      <c r="R7" s="53">
        <v>426800</v>
      </c>
      <c r="S7" s="23">
        <v>9.7000000000000003E-2</v>
      </c>
    </row>
    <row r="8" spans="1:19" ht="20.45" customHeight="1" x14ac:dyDescent="0.25">
      <c r="A8" s="43" t="s">
        <v>12</v>
      </c>
      <c r="B8" s="21">
        <v>1132259.6279230013</v>
      </c>
      <c r="C8" s="52">
        <f t="shared" si="0"/>
        <v>392894.09088928142</v>
      </c>
      <c r="D8" s="22">
        <f t="shared" si="1"/>
        <v>0.34699999999999998</v>
      </c>
      <c r="E8" s="42">
        <v>757420.79839781334</v>
      </c>
      <c r="F8" s="52">
        <f t="shared" si="2"/>
        <v>262825.01704404119</v>
      </c>
      <c r="G8" s="22">
        <f t="shared" si="3"/>
        <v>0.34699999999999992</v>
      </c>
      <c r="H8" s="42">
        <v>656636.72950029513</v>
      </c>
      <c r="I8" s="52">
        <f t="shared" si="4"/>
        <v>227852.94513660236</v>
      </c>
      <c r="J8" s="22">
        <f t="shared" si="5"/>
        <v>0.34699999999999992</v>
      </c>
      <c r="K8" s="42">
        <v>2227719.2312480425</v>
      </c>
      <c r="L8" s="52">
        <f t="shared" si="6"/>
        <v>773018.57324307063</v>
      </c>
      <c r="M8" s="22">
        <f t="shared" si="7"/>
        <v>0.34699999999999992</v>
      </c>
      <c r="N8" s="42">
        <v>25963.612930848143</v>
      </c>
      <c r="O8" s="52">
        <f t="shared" si="8"/>
        <v>9009.3736870043049</v>
      </c>
      <c r="P8" s="22">
        <f t="shared" si="9"/>
        <v>0.34699999999999998</v>
      </c>
      <c r="Q8" s="53">
        <v>4800000</v>
      </c>
      <c r="R8" s="53">
        <v>1665599.9999999998</v>
      </c>
      <c r="S8" s="23">
        <v>0.34699999999999998</v>
      </c>
    </row>
    <row r="9" spans="1:19" ht="20.45" customHeight="1" x14ac:dyDescent="0.25">
      <c r="A9" s="43" t="s">
        <v>13</v>
      </c>
      <c r="B9" s="21">
        <v>538476.53331448161</v>
      </c>
      <c r="C9" s="52">
        <f t="shared" si="0"/>
        <v>95848.82292997773</v>
      </c>
      <c r="D9" s="22">
        <f t="shared" si="1"/>
        <v>0.17800000000000002</v>
      </c>
      <c r="E9" s="42">
        <v>2195016.353288251</v>
      </c>
      <c r="F9" s="52">
        <f t="shared" si="2"/>
        <v>390712.91088530869</v>
      </c>
      <c r="G9" s="22">
        <f t="shared" si="3"/>
        <v>0.17800000000000002</v>
      </c>
      <c r="H9" s="42">
        <v>1390828.6634660612</v>
      </c>
      <c r="I9" s="52">
        <f t="shared" si="4"/>
        <v>247567.50209695892</v>
      </c>
      <c r="J9" s="22">
        <f t="shared" si="5"/>
        <v>0.17800000000000002</v>
      </c>
      <c r="K9" s="42">
        <v>784022.6506719219</v>
      </c>
      <c r="L9" s="52">
        <f t="shared" si="6"/>
        <v>139556.0318196021</v>
      </c>
      <c r="M9" s="22">
        <f t="shared" si="7"/>
        <v>0.17799999999999999</v>
      </c>
      <c r="N9" s="42">
        <v>91655.799259284002</v>
      </c>
      <c r="O9" s="52">
        <f t="shared" si="8"/>
        <v>16314.732268152551</v>
      </c>
      <c r="P9" s="22">
        <f t="shared" si="9"/>
        <v>0.17799999999999999</v>
      </c>
      <c r="Q9" s="53">
        <v>5000000</v>
      </c>
      <c r="R9" s="53">
        <v>890000</v>
      </c>
      <c r="S9" s="23">
        <v>0.17799999999999999</v>
      </c>
    </row>
    <row r="10" spans="1:19" ht="20.45" customHeight="1" thickBot="1" x14ac:dyDescent="0.3">
      <c r="A10" s="45" t="s">
        <v>14</v>
      </c>
      <c r="B10" s="24">
        <v>634724.85309575591</v>
      </c>
      <c r="C10" s="25">
        <f t="shared" si="0"/>
        <v>147256.16591821538</v>
      </c>
      <c r="D10" s="26">
        <f t="shared" si="1"/>
        <v>0.23200000000000001</v>
      </c>
      <c r="E10" s="27">
        <v>631277.1011473554</v>
      </c>
      <c r="F10" s="25">
        <f t="shared" si="2"/>
        <v>146456.28746618645</v>
      </c>
      <c r="G10" s="26">
        <f t="shared" si="3"/>
        <v>0.23199999999999998</v>
      </c>
      <c r="H10" s="27">
        <v>664153.43871495046</v>
      </c>
      <c r="I10" s="25">
        <f t="shared" si="4"/>
        <v>154083.59778186851</v>
      </c>
      <c r="J10" s="26">
        <f t="shared" si="5"/>
        <v>0.23200000000000001</v>
      </c>
      <c r="K10" s="27">
        <v>554406.87951078592</v>
      </c>
      <c r="L10" s="25">
        <f t="shared" si="6"/>
        <v>128622.39604650234</v>
      </c>
      <c r="M10" s="26">
        <f t="shared" si="7"/>
        <v>0.23200000000000001</v>
      </c>
      <c r="N10" s="27">
        <v>15437.727531152064</v>
      </c>
      <c r="O10" s="25">
        <f t="shared" si="8"/>
        <v>3581.5527872272787</v>
      </c>
      <c r="P10" s="26">
        <f t="shared" si="9"/>
        <v>0.23199999999999998</v>
      </c>
      <c r="Q10" s="28">
        <v>2500000</v>
      </c>
      <c r="R10" s="28">
        <v>580000</v>
      </c>
      <c r="S10" s="29">
        <v>0.23200000000000001</v>
      </c>
    </row>
    <row r="11" spans="1:19" ht="20.45" customHeight="1" thickBot="1" x14ac:dyDescent="0.3">
      <c r="A11" s="44" t="s">
        <v>7</v>
      </c>
      <c r="B11" s="30">
        <v>23640909.230252378</v>
      </c>
      <c r="C11" s="31">
        <f>SUM(C4:C10)</f>
        <v>6366854.0476590022</v>
      </c>
      <c r="D11" s="32">
        <f>C11/B11</f>
        <v>0.26931510906152373</v>
      </c>
      <c r="E11" s="33">
        <v>14635515.124692271</v>
      </c>
      <c r="F11" s="31">
        <f>SUM(F4:F10)</f>
        <v>3710750.3102582418</v>
      </c>
      <c r="G11" s="32">
        <f>F11/E11</f>
        <v>0.25354422298383328</v>
      </c>
      <c r="H11" s="33">
        <v>21046366.776489217</v>
      </c>
      <c r="I11" s="31">
        <f>SUM(I4:I10)</f>
        <v>5226208.3033945989</v>
      </c>
      <c r="J11" s="32">
        <f>I11/H11</f>
        <v>0.2483187886487262</v>
      </c>
      <c r="K11" s="33">
        <v>8542511.1499946266</v>
      </c>
      <c r="L11" s="31">
        <f>SUM(L4:L10)</f>
        <v>2201477.6942142816</v>
      </c>
      <c r="M11" s="32">
        <f>L11/K11</f>
        <v>0.25770849526086559</v>
      </c>
      <c r="N11" s="33">
        <v>1409697.718571505</v>
      </c>
      <c r="O11" s="31">
        <f>SUM(O4:O10)</f>
        <v>372634.64447387756</v>
      </c>
      <c r="P11" s="32">
        <f>O11/N11</f>
        <v>0.26433655922454141</v>
      </c>
      <c r="Q11" s="33">
        <v>69275000</v>
      </c>
      <c r="R11" s="31">
        <v>17877925</v>
      </c>
      <c r="S11" s="32">
        <v>0.25807181522915917</v>
      </c>
    </row>
    <row r="12" spans="1:19" ht="20.45" customHeight="1" x14ac:dyDescent="0.25">
      <c r="A12" s="6" t="s">
        <v>15</v>
      </c>
      <c r="B12" s="34">
        <v>1125757.5823929703</v>
      </c>
      <c r="C12" s="34"/>
      <c r="D12" s="34"/>
      <c r="E12" s="34">
        <v>696929.29165201285</v>
      </c>
      <c r="F12" s="34"/>
      <c r="G12" s="34"/>
      <c r="H12" s="34">
        <v>1002207.9417375817</v>
      </c>
      <c r="I12" s="34"/>
      <c r="J12" s="34"/>
      <c r="K12" s="34">
        <v>406786.24523783935</v>
      </c>
      <c r="L12" s="34"/>
      <c r="M12" s="34"/>
      <c r="N12" s="34">
        <v>67128.462789119294</v>
      </c>
      <c r="O12" s="34"/>
      <c r="P12" s="34"/>
      <c r="Q12" s="35">
        <v>3298809.5238095238</v>
      </c>
      <c r="R12" s="35"/>
      <c r="S12" s="35"/>
    </row>
    <row r="13" spans="1:19" ht="20.45" customHeight="1" x14ac:dyDescent="0.25">
      <c r="A13" s="9" t="s">
        <v>16</v>
      </c>
      <c r="B13" s="36">
        <v>1024223.3604065039</v>
      </c>
      <c r="C13" s="36"/>
      <c r="D13" s="36"/>
      <c r="E13" s="36">
        <v>637067.5646341464</v>
      </c>
      <c r="F13" s="36"/>
      <c r="G13" s="36"/>
      <c r="H13" s="36">
        <v>924229.37406504061</v>
      </c>
      <c r="I13" s="36"/>
      <c r="J13" s="36"/>
      <c r="K13" s="36">
        <v>376808.85829268285</v>
      </c>
      <c r="L13" s="36"/>
      <c r="M13" s="36"/>
      <c r="N13" s="36">
        <v>61222.123495934953</v>
      </c>
      <c r="O13" s="36"/>
      <c r="P13" s="36"/>
      <c r="Q13" s="36">
        <v>3023551.2808943084</v>
      </c>
      <c r="R13" s="36"/>
      <c r="S13" s="36"/>
    </row>
    <row r="14" spans="1:19" ht="20.45" customHeight="1" x14ac:dyDescent="0.25">
      <c r="A14" s="2"/>
      <c r="B14" s="41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</row>
    <row r="15" spans="1:19" ht="20.45" customHeight="1" x14ac:dyDescent="0.25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20.45" customHeight="1" x14ac:dyDescent="0.25">
      <c r="A16" s="15" t="s">
        <v>21</v>
      </c>
      <c r="B16" s="1" t="s">
        <v>2</v>
      </c>
      <c r="C16" s="1" t="s">
        <v>3</v>
      </c>
      <c r="D16" s="1" t="s">
        <v>4</v>
      </c>
      <c r="E16" s="1" t="s">
        <v>5</v>
      </c>
      <c r="F16" s="1" t="s">
        <v>6</v>
      </c>
      <c r="G16" s="1" t="s">
        <v>7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20.45" customHeight="1" x14ac:dyDescent="0.25">
      <c r="A17" s="4" t="s">
        <v>22</v>
      </c>
      <c r="B17" s="39">
        <v>8046.9498802588359</v>
      </c>
      <c r="C17" s="39">
        <v>2594.4508444606272</v>
      </c>
      <c r="D17" s="39">
        <v>1043.7348221576326</v>
      </c>
      <c r="E17" s="39">
        <v>2144.2523303394523</v>
      </c>
      <c r="F17" s="39">
        <v>271</v>
      </c>
      <c r="G17" s="39">
        <v>14100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20.45" customHeight="1" x14ac:dyDescent="0.25">
      <c r="A18" s="4" t="s">
        <v>23</v>
      </c>
      <c r="B18" s="39">
        <v>4469.0282130420237</v>
      </c>
      <c r="C18" s="39">
        <v>2921.6761924370599</v>
      </c>
      <c r="D18" s="39">
        <v>195.39872624579061</v>
      </c>
      <c r="E18" s="39">
        <v>342.29422257241333</v>
      </c>
      <c r="F18" s="39">
        <v>71.602645702712806</v>
      </c>
      <c r="G18" s="39">
        <v>8000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20.45" customHeight="1" x14ac:dyDescent="0.25">
      <c r="A19" s="4" t="s">
        <v>24</v>
      </c>
      <c r="B19" s="38">
        <v>199849.35566348385</v>
      </c>
      <c r="C19" s="38">
        <v>351852.23941833386</v>
      </c>
      <c r="D19" s="38">
        <v>195823.77439760006</v>
      </c>
      <c r="E19" s="38">
        <v>222282.93042143964</v>
      </c>
      <c r="F19" s="38">
        <v>30191.700099142567</v>
      </c>
      <c r="G19" s="38">
        <v>1000000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20.45" customHeight="1" x14ac:dyDescent="0.25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20.45" customHeight="1" x14ac:dyDescent="0.25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</sheetData>
  <mergeCells count="8">
    <mergeCell ref="A2:A3"/>
    <mergeCell ref="A1:Q1"/>
    <mergeCell ref="B3:D3"/>
    <mergeCell ref="E3:G3"/>
    <mergeCell ref="H3:J3"/>
    <mergeCell ref="K3:M3"/>
    <mergeCell ref="N3:P3"/>
    <mergeCell ref="Q3:S3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C37AB-97B0-4F78-B8A7-799A9B7B5100}">
  <dimension ref="A1:N35"/>
  <sheetViews>
    <sheetView topLeftCell="A7" workbookViewId="0">
      <selection sqref="A1:XFD1048576"/>
    </sheetView>
  </sheetViews>
  <sheetFormatPr defaultRowHeight="12.75" x14ac:dyDescent="0.2"/>
  <cols>
    <col min="1" max="1" width="27" bestFit="1" customWidth="1"/>
    <col min="2" max="2" width="14.125" bestFit="1" customWidth="1"/>
    <col min="3" max="3" width="15" bestFit="1" customWidth="1"/>
    <col min="4" max="4" width="14.125" bestFit="1" customWidth="1"/>
    <col min="5" max="5" width="13.25" bestFit="1" customWidth="1"/>
    <col min="6" max="6" width="13" bestFit="1" customWidth="1"/>
    <col min="7" max="7" width="14.125" bestFit="1" customWidth="1"/>
    <col min="8" max="8" width="11.875" bestFit="1" customWidth="1"/>
  </cols>
  <sheetData>
    <row r="1" spans="1:8" ht="13.5" x14ac:dyDescent="0.25">
      <c r="A1" s="62" t="s">
        <v>0</v>
      </c>
      <c r="B1" s="62"/>
      <c r="C1" s="62"/>
      <c r="D1" s="62"/>
      <c r="E1" s="62"/>
      <c r="F1" s="62"/>
      <c r="G1" s="62"/>
    </row>
    <row r="2" spans="1:8" ht="13.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8" ht="13.5" x14ac:dyDescent="0.25">
      <c r="A3" s="2" t="s">
        <v>8</v>
      </c>
      <c r="B3" s="3">
        <v>1071613.5519024145</v>
      </c>
      <c r="C3" s="3">
        <v>402810.67253635987</v>
      </c>
      <c r="D3" s="3">
        <v>118620.76176487553</v>
      </c>
      <c r="E3" s="3">
        <v>165020.05670442141</v>
      </c>
      <c r="F3" s="19">
        <v>41934.957091928933</v>
      </c>
      <c r="G3" s="3">
        <v>1800000</v>
      </c>
    </row>
    <row r="4" spans="1:8" ht="13.5" x14ac:dyDescent="0.25">
      <c r="A4" s="2" t="s">
        <v>9</v>
      </c>
      <c r="B4" s="3">
        <v>359827.79531405534</v>
      </c>
      <c r="C4" s="3">
        <v>150862.60734013843</v>
      </c>
      <c r="D4" s="3">
        <v>214406.78544550575</v>
      </c>
      <c r="E4" s="3">
        <v>1015400.181714246</v>
      </c>
      <c r="F4" s="19">
        <v>9502.630186054068</v>
      </c>
      <c r="G4" s="3">
        <v>1750000</v>
      </c>
    </row>
    <row r="5" spans="1:8" ht="13.5" x14ac:dyDescent="0.25">
      <c r="A5" s="2" t="s">
        <v>10</v>
      </c>
      <c r="B5" s="3">
        <v>19331542.752703547</v>
      </c>
      <c r="C5" s="3">
        <v>9882460.1194687225</v>
      </c>
      <c r="D5" s="3">
        <v>15717893.836368576</v>
      </c>
      <c r="E5" s="3">
        <v>2897820.2617934356</v>
      </c>
      <c r="F5" s="19">
        <v>1195283.0296657204</v>
      </c>
      <c r="G5" s="3">
        <v>49025000</v>
      </c>
    </row>
    <row r="6" spans="1:8" ht="13.5" x14ac:dyDescent="0.25">
      <c r="A6" s="2" t="s">
        <v>11</v>
      </c>
      <c r="B6" s="3">
        <v>572464.11599912634</v>
      </c>
      <c r="C6" s="3">
        <v>615667.47251363064</v>
      </c>
      <c r="D6" s="3">
        <v>2283826.5612289528</v>
      </c>
      <c r="E6" s="3">
        <v>898121.88835177338</v>
      </c>
      <c r="F6" s="19">
        <v>29919.961906517343</v>
      </c>
      <c r="G6" s="3">
        <v>4400000</v>
      </c>
    </row>
    <row r="7" spans="1:8" ht="13.5" x14ac:dyDescent="0.25">
      <c r="A7" s="2" t="s">
        <v>12</v>
      </c>
      <c r="B7" s="3">
        <v>1132259.6279230013</v>
      </c>
      <c r="C7" s="3">
        <v>757420.79839781334</v>
      </c>
      <c r="D7" s="3">
        <v>656636.72950029513</v>
      </c>
      <c r="E7" s="3">
        <v>2227719.2312480425</v>
      </c>
      <c r="F7" s="19">
        <v>25963.612930848143</v>
      </c>
      <c r="G7" s="3">
        <v>4800000</v>
      </c>
    </row>
    <row r="8" spans="1:8" ht="13.5" x14ac:dyDescent="0.25">
      <c r="A8" s="2" t="s">
        <v>13</v>
      </c>
      <c r="B8" s="3">
        <v>538476.53331448161</v>
      </c>
      <c r="C8" s="3">
        <v>2195016.353288251</v>
      </c>
      <c r="D8" s="3">
        <v>1390828.6634660612</v>
      </c>
      <c r="E8" s="3">
        <v>784022.6506719219</v>
      </c>
      <c r="F8" s="19">
        <v>91655.799259284002</v>
      </c>
      <c r="G8" s="3">
        <v>5000000</v>
      </c>
    </row>
    <row r="9" spans="1:8" ht="13.5" x14ac:dyDescent="0.25">
      <c r="A9" s="2" t="s">
        <v>14</v>
      </c>
      <c r="B9" s="3">
        <v>634724.85309575591</v>
      </c>
      <c r="C9" s="3">
        <v>631277.1011473554</v>
      </c>
      <c r="D9" s="3">
        <v>664153.43871495046</v>
      </c>
      <c r="E9" s="3">
        <v>554406.87951078592</v>
      </c>
      <c r="F9" s="19">
        <v>15437.727531152064</v>
      </c>
      <c r="G9" s="3">
        <v>2500000</v>
      </c>
    </row>
    <row r="10" spans="1:8" ht="15.75" x14ac:dyDescent="0.25">
      <c r="A10" s="4" t="s">
        <v>7</v>
      </c>
      <c r="B10" s="5">
        <v>23640909.230252378</v>
      </c>
      <c r="C10" s="5">
        <v>14635515.124692271</v>
      </c>
      <c r="D10" s="5">
        <v>21046366.776489217</v>
      </c>
      <c r="E10" s="5">
        <v>8542511.1499946266</v>
      </c>
      <c r="F10" s="5">
        <v>1409697.718571505</v>
      </c>
      <c r="G10" s="5">
        <v>69275000</v>
      </c>
    </row>
    <row r="11" spans="1:8" ht="13.5" x14ac:dyDescent="0.25">
      <c r="A11" s="6" t="s">
        <v>15</v>
      </c>
      <c r="B11" s="7">
        <v>1125757.5823929703</v>
      </c>
      <c r="C11" s="7">
        <v>696929.29165201285</v>
      </c>
      <c r="D11" s="7">
        <v>1002207.9417375817</v>
      </c>
      <c r="E11" s="7">
        <v>406786.24523783935</v>
      </c>
      <c r="F11" s="7">
        <v>67128.462789119294</v>
      </c>
      <c r="G11" s="8">
        <v>3298809.5238095238</v>
      </c>
    </row>
    <row r="12" spans="1:8" ht="13.5" x14ac:dyDescent="0.25">
      <c r="A12" s="9" t="s">
        <v>16</v>
      </c>
      <c r="B12" s="10">
        <v>1024223.3604065039</v>
      </c>
      <c r="C12" s="10">
        <v>637067.5646341464</v>
      </c>
      <c r="D12" s="10">
        <v>924229.37406504061</v>
      </c>
      <c r="E12" s="10">
        <v>376808.85829268285</v>
      </c>
      <c r="F12" s="10">
        <v>61222.123495934953</v>
      </c>
      <c r="G12" s="10">
        <v>3023551.2808943084</v>
      </c>
    </row>
    <row r="13" spans="1:8" ht="13.5" x14ac:dyDescent="0.25">
      <c r="A13" s="2"/>
      <c r="B13" s="11"/>
      <c r="C13" s="11"/>
      <c r="D13" s="11"/>
      <c r="E13" s="11"/>
      <c r="F13" s="11"/>
      <c r="G13" s="11"/>
    </row>
    <row r="14" spans="1:8" ht="13.5" x14ac:dyDescent="0.25">
      <c r="A14" s="2"/>
      <c r="B14" s="2"/>
      <c r="C14" s="2"/>
      <c r="D14" s="2"/>
      <c r="E14" s="2"/>
      <c r="F14" s="2"/>
      <c r="G14" s="2"/>
    </row>
    <row r="15" spans="1:8" ht="13.5" x14ac:dyDescent="0.25">
      <c r="A15" s="2"/>
      <c r="B15" s="2"/>
      <c r="C15" s="2"/>
      <c r="D15" s="2"/>
      <c r="E15" s="2"/>
      <c r="F15" s="2"/>
      <c r="G15" s="2"/>
    </row>
    <row r="16" spans="1:8" ht="13.5" customHeight="1" x14ac:dyDescent="0.25">
      <c r="A16" s="63" t="s">
        <v>17</v>
      </c>
      <c r="B16" s="63"/>
      <c r="C16" s="63"/>
      <c r="D16" s="63"/>
      <c r="E16" s="63"/>
      <c r="F16" s="63"/>
      <c r="G16" s="63"/>
      <c r="H16" s="64" t="s">
        <v>18</v>
      </c>
    </row>
    <row r="17" spans="1:14" ht="13.5" x14ac:dyDescent="0.2">
      <c r="A17" s="1" t="s">
        <v>1</v>
      </c>
      <c r="B17" s="1" t="s">
        <v>2</v>
      </c>
      <c r="C17" s="1" t="s">
        <v>3</v>
      </c>
      <c r="D17" s="1" t="s">
        <v>4</v>
      </c>
      <c r="E17" s="1" t="s">
        <v>5</v>
      </c>
      <c r="F17" s="1" t="s">
        <v>6</v>
      </c>
      <c r="G17" s="1" t="s">
        <v>7</v>
      </c>
      <c r="H17" s="64"/>
    </row>
    <row r="18" spans="1:14" ht="13.5" x14ac:dyDescent="0.25">
      <c r="A18" s="2" t="s">
        <v>8</v>
      </c>
      <c r="B18" s="3">
        <v>315054.38425930985</v>
      </c>
      <c r="C18" s="3">
        <v>118426.33772568979</v>
      </c>
      <c r="D18" s="3">
        <v>34874.503958873407</v>
      </c>
      <c r="E18" s="3">
        <v>48515.896671099894</v>
      </c>
      <c r="F18" s="3">
        <v>12328.877385027105</v>
      </c>
      <c r="G18" s="3">
        <v>529200</v>
      </c>
      <c r="H18" s="12">
        <v>0.29399999999999998</v>
      </c>
    </row>
    <row r="19" spans="1:14" ht="13.5" x14ac:dyDescent="0.25">
      <c r="A19" s="2" t="s">
        <v>9</v>
      </c>
      <c r="B19" s="3">
        <v>82760.392922232728</v>
      </c>
      <c r="C19" s="3">
        <v>34698.399688231839</v>
      </c>
      <c r="D19" s="3">
        <v>49313.560652466324</v>
      </c>
      <c r="E19" s="3">
        <v>233542.04179427659</v>
      </c>
      <c r="F19" s="3">
        <v>2185.6049427924358</v>
      </c>
      <c r="G19" s="3">
        <v>402500</v>
      </c>
      <c r="H19" s="12">
        <v>0.23</v>
      </c>
    </row>
    <row r="20" spans="1:14" ht="13.5" x14ac:dyDescent="0.25">
      <c r="A20" s="2" t="s">
        <v>10</v>
      </c>
      <c r="B20" s="3">
        <v>5277511.1714880699</v>
      </c>
      <c r="C20" s="3">
        <v>2697911.6126149618</v>
      </c>
      <c r="D20" s="3">
        <v>4290985.0173286218</v>
      </c>
      <c r="E20" s="3">
        <v>791104.93146960798</v>
      </c>
      <c r="F20" s="3">
        <v>326312.26709874172</v>
      </c>
      <c r="G20" s="3">
        <v>13383825.000000002</v>
      </c>
      <c r="H20" s="12">
        <v>0.27300000000000002</v>
      </c>
    </row>
    <row r="21" spans="1:14" ht="13.5" x14ac:dyDescent="0.25">
      <c r="A21" s="2" t="s">
        <v>11</v>
      </c>
      <c r="B21" s="3">
        <v>55529.019251915255</v>
      </c>
      <c r="C21" s="3">
        <v>59719.744833822166</v>
      </c>
      <c r="D21" s="3">
        <v>221531.17643920842</v>
      </c>
      <c r="E21" s="3">
        <v>87117.823170122021</v>
      </c>
      <c r="F21" s="3">
        <v>2902.2363049321825</v>
      </c>
      <c r="G21" s="3">
        <v>426800</v>
      </c>
      <c r="H21" s="12">
        <v>9.7000000000000003E-2</v>
      </c>
    </row>
    <row r="22" spans="1:14" ht="13.5" x14ac:dyDescent="0.25">
      <c r="A22" s="2" t="s">
        <v>12</v>
      </c>
      <c r="B22" s="3">
        <v>392894.09088928142</v>
      </c>
      <c r="C22" s="3">
        <v>262825.01704404119</v>
      </c>
      <c r="D22" s="3">
        <v>227852.94513660236</v>
      </c>
      <c r="E22" s="3">
        <v>773018.57324307063</v>
      </c>
      <c r="F22" s="3">
        <v>9009.3736870043049</v>
      </c>
      <c r="G22" s="3">
        <v>1665599.9999999998</v>
      </c>
      <c r="H22" s="12">
        <v>0.34699999999999998</v>
      </c>
    </row>
    <row r="23" spans="1:14" ht="13.5" x14ac:dyDescent="0.25">
      <c r="A23" s="2" t="s">
        <v>13</v>
      </c>
      <c r="B23" s="3">
        <v>95848.82292997773</v>
      </c>
      <c r="C23" s="3">
        <v>390712.91088530864</v>
      </c>
      <c r="D23" s="3">
        <v>247567.50209695892</v>
      </c>
      <c r="E23" s="3">
        <v>139556.0318196021</v>
      </c>
      <c r="F23" s="3">
        <v>16314.732268152551</v>
      </c>
      <c r="G23" s="3">
        <v>890000</v>
      </c>
      <c r="H23" s="12">
        <v>0.17799999999999999</v>
      </c>
    </row>
    <row r="24" spans="1:14" ht="13.5" x14ac:dyDescent="0.25">
      <c r="A24" s="2" t="s">
        <v>14</v>
      </c>
      <c r="B24" s="3">
        <v>147256.16591821538</v>
      </c>
      <c r="C24" s="3">
        <v>146456.28746618645</v>
      </c>
      <c r="D24" s="3">
        <v>154083.59778186851</v>
      </c>
      <c r="E24" s="3">
        <v>128622.39604650234</v>
      </c>
      <c r="F24" s="3">
        <v>3581.5527872272787</v>
      </c>
      <c r="G24" s="3">
        <v>580000</v>
      </c>
      <c r="H24" s="12">
        <v>0.23200000000000001</v>
      </c>
    </row>
    <row r="25" spans="1:14" ht="15.75" x14ac:dyDescent="0.25">
      <c r="A25" s="2" t="s">
        <v>7</v>
      </c>
      <c r="B25" s="5">
        <v>6366854.0476590022</v>
      </c>
      <c r="C25" s="5">
        <v>3710750.3102582428</v>
      </c>
      <c r="D25" s="5">
        <v>5226208.3033945989</v>
      </c>
      <c r="E25" s="5">
        <v>2201477.6942142816</v>
      </c>
      <c r="F25" s="5">
        <v>372634.64447387756</v>
      </c>
      <c r="G25" s="5">
        <v>17877925</v>
      </c>
      <c r="H25" s="13">
        <v>0.25807181522915917</v>
      </c>
    </row>
    <row r="26" spans="1:14" ht="13.5" x14ac:dyDescent="0.25">
      <c r="A26" s="2" t="s">
        <v>19</v>
      </c>
      <c r="B26" s="3"/>
      <c r="C26" s="3"/>
      <c r="D26" s="3"/>
      <c r="E26" s="3"/>
      <c r="F26" s="3"/>
      <c r="G26" s="3">
        <v>17803675</v>
      </c>
      <c r="H26" s="14">
        <v>0.25700000000000001</v>
      </c>
      <c r="I26" s="2"/>
    </row>
    <row r="27" spans="1:14" ht="13.5" customHeight="1" x14ac:dyDescent="0.25">
      <c r="A27" s="2"/>
      <c r="B27" s="2"/>
      <c r="C27" s="2"/>
      <c r="D27" s="2"/>
      <c r="E27" s="2"/>
      <c r="F27" s="65" t="s">
        <v>20</v>
      </c>
      <c r="G27" s="65"/>
      <c r="H27" s="65"/>
      <c r="I27" s="2"/>
    </row>
    <row r="28" spans="1:14" ht="28.5" customHeight="1" x14ac:dyDescent="0.25">
      <c r="A28" s="2"/>
      <c r="B28" s="2"/>
      <c r="C28" s="2"/>
      <c r="D28" s="2"/>
      <c r="E28" s="2"/>
      <c r="F28" s="65"/>
      <c r="G28" s="65"/>
      <c r="H28" s="65"/>
      <c r="I28" s="2"/>
    </row>
    <row r="29" spans="1:14" ht="13.5" x14ac:dyDescent="0.25">
      <c r="A29" s="2"/>
      <c r="B29" s="2"/>
      <c r="C29" s="2"/>
      <c r="D29" s="2"/>
      <c r="E29" s="2"/>
      <c r="F29" s="2"/>
      <c r="G29" s="2"/>
      <c r="H29" s="2"/>
      <c r="I29" s="2"/>
      <c r="M29" s="17"/>
    </row>
    <row r="30" spans="1:14" ht="13.5" x14ac:dyDescent="0.25">
      <c r="A30" s="15" t="s">
        <v>21</v>
      </c>
      <c r="B30" s="15" t="s">
        <v>2</v>
      </c>
      <c r="C30" s="15" t="s">
        <v>3</v>
      </c>
      <c r="D30" s="15" t="s">
        <v>4</v>
      </c>
      <c r="E30" s="15" t="s">
        <v>5</v>
      </c>
      <c r="F30" s="15" t="s">
        <v>6</v>
      </c>
      <c r="G30" s="15" t="s">
        <v>7</v>
      </c>
      <c r="H30" s="2"/>
      <c r="I30" s="2"/>
    </row>
    <row r="31" spans="1:14" ht="13.5" x14ac:dyDescent="0.25">
      <c r="A31" s="4" t="s">
        <v>22</v>
      </c>
      <c r="B31" s="16">
        <v>8046.9498802588359</v>
      </c>
      <c r="C31" s="16">
        <v>2594.4508444606272</v>
      </c>
      <c r="D31" s="16">
        <v>1043.7348221576326</v>
      </c>
      <c r="E31" s="16">
        <v>2144.2523303394523</v>
      </c>
      <c r="F31" s="16">
        <v>271</v>
      </c>
      <c r="G31" s="16">
        <v>14100</v>
      </c>
      <c r="H31" s="2"/>
      <c r="I31" s="2"/>
      <c r="N31" s="18"/>
    </row>
    <row r="32" spans="1:14" ht="13.5" x14ac:dyDescent="0.25">
      <c r="A32" s="4" t="s">
        <v>23</v>
      </c>
      <c r="B32" s="16">
        <v>4469.0282130420237</v>
      </c>
      <c r="C32" s="16">
        <v>2921.6761924370599</v>
      </c>
      <c r="D32" s="16">
        <v>195.39872624579061</v>
      </c>
      <c r="E32" s="16">
        <v>342.29422257241333</v>
      </c>
      <c r="F32" s="16">
        <v>71.602645702712806</v>
      </c>
      <c r="G32" s="16">
        <v>8000</v>
      </c>
      <c r="H32" s="2"/>
      <c r="I32" s="2"/>
    </row>
    <row r="33" spans="1:9" ht="13.5" x14ac:dyDescent="0.25">
      <c r="A33" s="4" t="s">
        <v>24</v>
      </c>
      <c r="B33" s="3">
        <v>199849.35566348385</v>
      </c>
      <c r="C33" s="3">
        <v>351852.23941833386</v>
      </c>
      <c r="D33" s="3">
        <v>195823.77439760006</v>
      </c>
      <c r="E33" s="3">
        <v>222282.93042143964</v>
      </c>
      <c r="F33" s="3">
        <v>30191.700099142567</v>
      </c>
      <c r="G33" s="3">
        <v>1000000</v>
      </c>
      <c r="H33" s="2"/>
      <c r="I33" s="2"/>
    </row>
    <row r="34" spans="1:9" ht="13.5" x14ac:dyDescent="0.25">
      <c r="A34" s="2"/>
      <c r="B34" s="2"/>
      <c r="C34" s="2"/>
      <c r="D34" s="2"/>
      <c r="E34" s="2"/>
      <c r="F34" s="2"/>
      <c r="G34" s="2"/>
      <c r="H34" s="2"/>
      <c r="I34" s="2"/>
    </row>
    <row r="35" spans="1:9" ht="13.5" x14ac:dyDescent="0.25">
      <c r="A35" s="2"/>
      <c r="B35" s="2"/>
      <c r="C35" s="2"/>
      <c r="D35" s="2"/>
      <c r="E35" s="2"/>
      <c r="F35" s="2"/>
      <c r="G35" s="2"/>
      <c r="H35" s="2"/>
      <c r="I35" s="2"/>
    </row>
  </sheetData>
  <mergeCells count="4">
    <mergeCell ref="A1:G1"/>
    <mergeCell ref="A16:G16"/>
    <mergeCell ref="H16:H17"/>
    <mergeCell ref="F27:H28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C255-19F4-40D5-B628-4B0D36B8F5A5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Rateio Gui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Reinholz - CIFAL</dc:creator>
  <cp:lastModifiedBy>lq lq</cp:lastModifiedBy>
  <dcterms:created xsi:type="dcterms:W3CDTF">2026-07-20T11:12:07Z</dcterms:created>
  <dcterms:modified xsi:type="dcterms:W3CDTF">2026-08-04T16:40:35Z</dcterms:modified>
</cp:coreProperties>
</file>